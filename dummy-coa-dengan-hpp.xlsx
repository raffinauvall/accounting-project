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A DUMMY" state="visible" r:id="rId4"/>
    <sheet sheetId="2" name="DATA ITEM" state="visible" r:id="rId5"/>
  </sheets>
  <calcPr calcId="171027"/>
</workbook>
</file>

<file path=xl/sharedStrings.xml><?xml version="1.0" encoding="utf-8"?>
<sst xmlns="http://schemas.openxmlformats.org/spreadsheetml/2006/main" count="150" uniqueCount="75">
  <si>
    <t>Kode Akun</t>
  </si>
  <si>
    <t>Nama Akun</t>
  </si>
  <si>
    <t>Kelompok</t>
  </si>
  <si>
    <t>Laporan</t>
  </si>
  <si>
    <t>Jenis</t>
  </si>
  <si>
    <t>Saldo Dummy</t>
  </si>
  <si>
    <t>HPP</t>
  </si>
  <si>
    <t>1</t>
  </si>
  <si>
    <t>Aset</t>
  </si>
  <si>
    <t>Neraca</t>
  </si>
  <si>
    <t>Tidak</t>
  </si>
  <si>
    <t>1.1</t>
  </si>
  <si>
    <t>Aset Lancar</t>
  </si>
  <si>
    <t>1.1.1</t>
  </si>
  <si>
    <t>Kas</t>
  </si>
  <si>
    <t>Akun saldo</t>
  </si>
  <si>
    <t>1.1.2</t>
  </si>
  <si>
    <t>Bank</t>
  </si>
  <si>
    <t>1.1.3</t>
  </si>
  <si>
    <t>Piutang Usaha</t>
  </si>
  <si>
    <t>2</t>
  </si>
  <si>
    <t>Liabilitas</t>
  </si>
  <si>
    <t>2.1</t>
  </si>
  <si>
    <t>Liabilitas Lancar</t>
  </si>
  <si>
    <t>2.1.1</t>
  </si>
  <si>
    <t>Utang Usaha</t>
  </si>
  <si>
    <t>3</t>
  </si>
  <si>
    <t>Ekuitas</t>
  </si>
  <si>
    <t>3.1</t>
  </si>
  <si>
    <t>Modal</t>
  </si>
  <si>
    <t>3.2</t>
  </si>
  <si>
    <t>Laba Ditahan</t>
  </si>
  <si>
    <t>4</t>
  </si>
  <si>
    <t>Pendapatan</t>
  </si>
  <si>
    <t>Laba Rugi</t>
  </si>
  <si>
    <t>4.1</t>
  </si>
  <si>
    <t>Pendapatan Usaha</t>
  </si>
  <si>
    <t>4.1.1</t>
  </si>
  <si>
    <t>Pendapatan Penjualan</t>
  </si>
  <si>
    <t>5</t>
  </si>
  <si>
    <t>Beban</t>
  </si>
  <si>
    <t>5.1</t>
  </si>
  <si>
    <t>Beban Operasional</t>
  </si>
  <si>
    <t>5.1.1</t>
  </si>
  <si>
    <t>Beban Gaji</t>
  </si>
  <si>
    <t>5.1.2</t>
  </si>
  <si>
    <t>Beban Listrik</t>
  </si>
  <si>
    <t>5.2</t>
  </si>
  <si>
    <t>Harga Pokok Penjualan</t>
  </si>
  <si>
    <t>Ya</t>
  </si>
  <si>
    <t>5.2.1</t>
  </si>
  <si>
    <t>HPP Penjualan Sparepart</t>
  </si>
  <si>
    <t>DATA ITEM PENJUALAN + HPP DUMMY</t>
  </si>
  <si>
    <t>HPP/modal per unit adalah angka dummy untuk contoh; sesuaikan dengan data pembelian aktual.</t>
  </si>
  <si>
    <t>No.</t>
  </si>
  <si>
    <t>Nama Barang</t>
  </si>
  <si>
    <t>Qty Terjual</t>
  </si>
  <si>
    <t>Total Penjualan</t>
  </si>
  <si>
    <t>Harga Jual/Unit</t>
  </si>
  <si>
    <t>HPP/Modal per Unit</t>
  </si>
  <si>
    <t>Total HPP</t>
  </si>
  <si>
    <t>Laba Kotor</t>
  </si>
  <si>
    <t>Margin</t>
  </si>
  <si>
    <t>CVT AEROX</t>
  </si>
  <si>
    <t>CVT BEAT</t>
  </si>
  <si>
    <t>CVT MIO</t>
  </si>
  <si>
    <t>CVT STYLO V1</t>
  </si>
  <si>
    <t>CVT V1</t>
  </si>
  <si>
    <t>CVT V2</t>
  </si>
  <si>
    <t>FILTER APST</t>
  </si>
  <si>
    <t>FILTER STYLO V1</t>
  </si>
  <si>
    <t>FILTER VARIO V2</t>
  </si>
  <si>
    <t>SHOCK</t>
  </si>
  <si>
    <t>SWING ARM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</si>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</sst>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&quot; #,##0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i/>
      <color rgb="FF66666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38B82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0" fontId="0" fillId="0" borderId="0" xfId="0" applyNumberFormat="1"/>
    <xf numFmtId="0" fontId="2" fillId="0" borderId="0" xfId="0" applyFont="1"/>
    <xf numFmtId="10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10" fontId="3" fillId="0" borderId="0" xfId="0" applyNumberFormat="1" applyFont="1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5" width="16" customWidth="1"/>
    <col min="6" max="6" width="18" style="1" customWidth="1"/>
    <col min="7" max="7" width="12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9</v>
      </c>
      <c r="E2" t="s">
        <v>2</v>
      </c>
      <c r="F2" s="1">
        <v>0</v>
      </c>
      <c r="G2" t="s">
        <v>10</v>
      </c>
    </row>
    <row r="3" spans="1:7" x14ac:dyDescent="0.25">
      <c r="A3" t="s">
        <v>11</v>
      </c>
      <c r="B3" t="s">
        <v>12</v>
      </c>
      <c r="C3" t="s">
        <v>8</v>
      </c>
      <c r="D3" t="s">
        <v>9</v>
      </c>
      <c r="E3" t="s">
        <v>2</v>
      </c>
      <c r="F3" s="1">
        <v>0</v>
      </c>
      <c r="G3" t="s">
        <v>10</v>
      </c>
    </row>
    <row r="4" spans="1:7" x14ac:dyDescent="0.25">
      <c r="A4" t="s">
        <v>13</v>
      </c>
      <c r="B4" t="s">
        <v>14</v>
      </c>
      <c r="C4" t="s">
        <v>8</v>
      </c>
      <c r="D4" t="s">
        <v>9</v>
      </c>
      <c r="E4" t="s">
        <v>15</v>
      </c>
      <c r="F4" s="1">
        <v>50000000</v>
      </c>
      <c r="G4" t="s">
        <v>10</v>
      </c>
    </row>
    <row r="5" spans="1:7" x14ac:dyDescent="0.25">
      <c r="A5" t="s">
        <v>16</v>
      </c>
      <c r="B5" t="s">
        <v>17</v>
      </c>
      <c r="C5" t="s">
        <v>8</v>
      </c>
      <c r="D5" t="s">
        <v>9</v>
      </c>
      <c r="E5" t="s">
        <v>15</v>
      </c>
      <c r="F5" s="1">
        <v>75000000</v>
      </c>
      <c r="G5" t="s">
        <v>10</v>
      </c>
    </row>
    <row r="6" spans="1:7" x14ac:dyDescent="0.25">
      <c r="A6" t="s">
        <v>18</v>
      </c>
      <c r="B6" t="s">
        <v>19</v>
      </c>
      <c r="C6" t="s">
        <v>8</v>
      </c>
      <c r="D6" t="s">
        <v>9</v>
      </c>
      <c r="E6" t="s">
        <v>15</v>
      </c>
      <c r="F6" s="1">
        <v>25000000</v>
      </c>
      <c r="G6" t="s">
        <v>10</v>
      </c>
    </row>
    <row r="7" spans="1:7" x14ac:dyDescent="0.25">
      <c r="A7" t="s">
        <v>20</v>
      </c>
      <c r="B7" t="s">
        <v>21</v>
      </c>
      <c r="C7" t="s">
        <v>21</v>
      </c>
      <c r="D7" t="s">
        <v>9</v>
      </c>
      <c r="E7" t="s">
        <v>2</v>
      </c>
      <c r="F7" s="1">
        <v>0</v>
      </c>
      <c r="G7" t="s">
        <v>10</v>
      </c>
    </row>
    <row r="8" spans="1:7" x14ac:dyDescent="0.25">
      <c r="A8" t="s">
        <v>22</v>
      </c>
      <c r="B8" t="s">
        <v>23</v>
      </c>
      <c r="C8" t="s">
        <v>21</v>
      </c>
      <c r="D8" t="s">
        <v>9</v>
      </c>
      <c r="E8" t="s">
        <v>2</v>
      </c>
      <c r="F8" s="1">
        <v>0</v>
      </c>
      <c r="G8" t="s">
        <v>10</v>
      </c>
    </row>
    <row r="9" spans="1:7" x14ac:dyDescent="0.25">
      <c r="A9" t="s">
        <v>24</v>
      </c>
      <c r="B9" t="s">
        <v>25</v>
      </c>
      <c r="C9" t="s">
        <v>21</v>
      </c>
      <c r="D9" t="s">
        <v>9</v>
      </c>
      <c r="E9" t="s">
        <v>15</v>
      </c>
      <c r="F9" s="1">
        <v>50000000</v>
      </c>
      <c r="G9" t="s">
        <v>10</v>
      </c>
    </row>
    <row r="10" spans="1:7" x14ac:dyDescent="0.25">
      <c r="A10" t="s">
        <v>26</v>
      </c>
      <c r="B10" t="s">
        <v>27</v>
      </c>
      <c r="C10" t="s">
        <v>27</v>
      </c>
      <c r="D10" t="s">
        <v>9</v>
      </c>
      <c r="E10" t="s">
        <v>2</v>
      </c>
      <c r="F10" s="1">
        <v>0</v>
      </c>
      <c r="G10" t="s">
        <v>10</v>
      </c>
    </row>
    <row r="11" spans="1:7" x14ac:dyDescent="0.25">
      <c r="A11" t="s">
        <v>28</v>
      </c>
      <c r="B11" t="s">
        <v>29</v>
      </c>
      <c r="C11" t="s">
        <v>27</v>
      </c>
      <c r="D11" t="s">
        <v>9</v>
      </c>
      <c r="E11" t="s">
        <v>15</v>
      </c>
      <c r="F11" s="1">
        <v>100000000</v>
      </c>
      <c r="G11" t="s">
        <v>10</v>
      </c>
    </row>
    <row r="12" spans="1:7" x14ac:dyDescent="0.25">
      <c r="A12" t="s">
        <v>30</v>
      </c>
      <c r="B12" t="s">
        <v>31</v>
      </c>
      <c r="C12" t="s">
        <v>27</v>
      </c>
      <c r="D12" t="s">
        <v>9</v>
      </c>
      <c r="E12" t="s">
        <v>15</v>
      </c>
      <c r="F12" s="1">
        <v>0</v>
      </c>
      <c r="G12" t="s">
        <v>10</v>
      </c>
    </row>
    <row r="13" spans="1:7" x14ac:dyDescent="0.25">
      <c r="A13" t="s">
        <v>32</v>
      </c>
      <c r="B13" t="s">
        <v>33</v>
      </c>
      <c r="C13" t="s">
        <v>33</v>
      </c>
      <c r="D13" t="s">
        <v>34</v>
      </c>
      <c r="E13" t="s">
        <v>2</v>
      </c>
      <c r="F13" s="1">
        <v>0</v>
      </c>
      <c r="G13" t="s">
        <v>10</v>
      </c>
    </row>
    <row r="14" spans="1:7" x14ac:dyDescent="0.25">
      <c r="A14" t="s">
        <v>35</v>
      </c>
      <c r="B14" t="s">
        <v>36</v>
      </c>
      <c r="C14" t="s">
        <v>33</v>
      </c>
      <c r="D14" t="s">
        <v>34</v>
      </c>
      <c r="E14" t="s">
        <v>2</v>
      </c>
      <c r="F14" s="1">
        <v>0</v>
      </c>
      <c r="G14" t="s">
        <v>10</v>
      </c>
    </row>
    <row r="15" spans="1:7" x14ac:dyDescent="0.25">
      <c r="A15" t="s">
        <v>37</v>
      </c>
      <c r="B15" t="s">
        <v>38</v>
      </c>
      <c r="C15" t="s">
        <v>33</v>
      </c>
      <c r="D15" t="s">
        <v>34</v>
      </c>
      <c r="E15" t="s">
        <v>15</v>
      </c>
      <c r="F15" s="1">
        <v>401920000</v>
      </c>
      <c r="G15" t="s">
        <v>10</v>
      </c>
    </row>
    <row r="16" spans="1:7" x14ac:dyDescent="0.25">
      <c r="A16" t="s">
        <v>39</v>
      </c>
      <c r="B16" t="s">
        <v>40</v>
      </c>
      <c r="C16" t="s">
        <v>40</v>
      </c>
      <c r="D16" t="s">
        <v>34</v>
      </c>
      <c r="E16" t="s">
        <v>2</v>
      </c>
      <c r="F16" s="1">
        <v>0</v>
      </c>
      <c r="G16" t="s">
        <v>10</v>
      </c>
    </row>
    <row r="17" spans="1:7" x14ac:dyDescent="0.25">
      <c r="A17" t="s">
        <v>41</v>
      </c>
      <c r="B17" t="s">
        <v>42</v>
      </c>
      <c r="C17" t="s">
        <v>40</v>
      </c>
      <c r="D17" t="s">
        <v>34</v>
      </c>
      <c r="E17" t="s">
        <v>2</v>
      </c>
      <c r="F17" s="1">
        <v>0</v>
      </c>
      <c r="G17" t="s">
        <v>10</v>
      </c>
    </row>
    <row r="18" spans="1:7" x14ac:dyDescent="0.25">
      <c r="A18" t="s">
        <v>43</v>
      </c>
      <c r="B18" t="s">
        <v>44</v>
      </c>
      <c r="C18" t="s">
        <v>40</v>
      </c>
      <c r="D18" t="s">
        <v>34</v>
      </c>
      <c r="E18" t="s">
        <v>15</v>
      </c>
      <c r="F18" s="1">
        <v>40000000</v>
      </c>
      <c r="G18" t="s">
        <v>10</v>
      </c>
    </row>
    <row r="19" spans="1:7" x14ac:dyDescent="0.25">
      <c r="A19" t="s">
        <v>45</v>
      </c>
      <c r="B19" t="s">
        <v>46</v>
      </c>
      <c r="C19" t="s">
        <v>40</v>
      </c>
      <c r="D19" t="s">
        <v>34</v>
      </c>
      <c r="E19" t="s">
        <v>15</v>
      </c>
      <c r="F19" s="1">
        <v>20000000</v>
      </c>
      <c r="G19" t="s">
        <v>10</v>
      </c>
    </row>
    <row r="20" spans="1:7" x14ac:dyDescent="0.25">
      <c r="A20" t="s">
        <v>47</v>
      </c>
      <c r="B20" t="s">
        <v>48</v>
      </c>
      <c r="C20" t="s">
        <v>40</v>
      </c>
      <c r="D20" t="s">
        <v>34</v>
      </c>
      <c r="E20" t="s">
        <v>2</v>
      </c>
      <c r="F20" s="1">
        <v>0</v>
      </c>
      <c r="G20" t="s">
        <v>49</v>
      </c>
    </row>
    <row r="21" spans="1:7" x14ac:dyDescent="0.25">
      <c r="A21" t="s">
        <v>50</v>
      </c>
      <c r="B21" t="s">
        <v>51</v>
      </c>
      <c r="C21" t="s">
        <v>40</v>
      </c>
      <c r="D21" t="s">
        <v>34</v>
      </c>
      <c r="E21" t="s">
        <v>15</v>
      </c>
      <c r="F21" s="1">
        <v>0</v>
      </c>
      <c r="G21" t="s">
        <v>49</v>
      </c>
    </row>
  </sheetData>
  <autoFilter ref="A1:G2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14" customWidth="1"/>
    <col min="4" max="5" width="20" style="1" customWidth="1"/>
    <col min="6" max="6" width="22" style="1" customWidth="1"/>
    <col min="7" max="8" width="18" style="1" customWidth="1"/>
    <col min="9" max="9" width="12" style="4" customWidth="1"/>
  </cols>
  <sheetData>
    <row r="1" spans="1:9" s="5" customFormat="1" x14ac:dyDescent="0.25">
      <c r="A1" s="6" t="s">
        <v>52</v>
      </c>
      <c r="B1" s="6"/>
      <c r="C1" s="6"/>
      <c r="D1" s="6"/>
      <c r="E1" s="6"/>
      <c r="F1" s="6"/>
      <c r="G1" s="6"/>
      <c r="H1" s="6"/>
      <c r="I1" s="6"/>
    </row>
    <row r="2" spans="1:9" s="7" customFormat="1" x14ac:dyDescent="0.25">
      <c r="A2" s="7" t="s">
        <v>53</v>
      </c>
      <c r="D2" s="8"/>
      <c r="E2" s="8"/>
      <c r="F2" s="8"/>
      <c r="G2" s="8"/>
      <c r="H2" s="8"/>
      <c r="I2" s="9"/>
    </row>
    <row r="3" ht="28" customHeight="1" spans="1:9" s="2" customFormat="1" x14ac:dyDescent="0.25">
      <c r="A3" s="10" t="s">
        <v>54</v>
      </c>
      <c r="B3" s="10" t="s">
        <v>55</v>
      </c>
      <c r="C3" s="10" t="s">
        <v>56</v>
      </c>
      <c r="D3" s="11" t="s">
        <v>57</v>
      </c>
      <c r="E3" s="11" t="s">
        <v>58</v>
      </c>
      <c r="F3" s="11" t="s">
        <v>59</v>
      </c>
      <c r="G3" s="11" t="s">
        <v>60</v>
      </c>
      <c r="H3" s="11" t="s">
        <v>61</v>
      </c>
      <c r="I3" s="12" t="s">
        <v>62</v>
      </c>
    </row>
    <row r="4" spans="1:9" x14ac:dyDescent="0.25">
      <c r="A4">
        <v>1</v>
      </c>
      <c r="B4" t="s">
        <v>63</v>
      </c>
      <c r="C4">
        <v>12</v>
      </c>
      <c r="D4" s="1">
        <v>72370000</v>
      </c>
      <c r="E4" s="1">
        <f>D4/C4</f>
      </c>
      <c r="F4" s="1">
        <v>3200000</v>
      </c>
      <c r="G4" s="1">
        <f>C4*F4</f>
      </c>
      <c r="H4" s="1">
        <f>D4-G4</f>
      </c>
      <c r="I4" s="4">
        <f>IFERROR(H4/D4,0)</f>
      </c>
    </row>
    <row r="5" spans="1:9" x14ac:dyDescent="0.25">
      <c r="A5">
        <v>2</v>
      </c>
      <c r="B5" t="s">
        <v>64</v>
      </c>
      <c r="C5">
        <v>9</v>
      </c>
      <c r="D5" s="1">
        <v>42150000</v>
      </c>
      <c r="E5" s="1">
        <f>D5/C5</f>
      </c>
      <c r="F5" s="1">
        <v>3000000</v>
      </c>
      <c r="G5" s="1">
        <f>C5*F5</f>
      </c>
      <c r="H5" s="1">
        <f>D5-G5</f>
      </c>
      <c r="I5" s="4">
        <f>IFERROR(H5/D5,0)</f>
      </c>
    </row>
    <row r="6" spans="1:9" x14ac:dyDescent="0.25">
      <c r="A6">
        <v>3</v>
      </c>
      <c r="B6" t="s">
        <v>65</v>
      </c>
      <c r="C6">
        <v>10</v>
      </c>
      <c r="D6" s="1">
        <v>50600000</v>
      </c>
      <c r="E6" s="1">
        <f>D6/C6</f>
      </c>
      <c r="F6" s="1">
        <v>3000000</v>
      </c>
      <c r="G6" s="1">
        <f>C6*F6</f>
      </c>
      <c r="H6" s="1">
        <f>D6-G6</f>
      </c>
      <c r="I6" s="4">
        <f>IFERROR(H6/D6,0)</f>
      </c>
    </row>
    <row r="7" spans="1:9" x14ac:dyDescent="0.25">
      <c r="A7">
        <v>4</v>
      </c>
      <c r="B7" t="s">
        <v>66</v>
      </c>
      <c r="C7">
        <v>11</v>
      </c>
      <c r="D7" s="1">
        <v>66200000</v>
      </c>
      <c r="E7" s="1">
        <f>D7/C7</f>
      </c>
      <c r="F7" s="1">
        <v>3200000</v>
      </c>
      <c r="G7" s="1">
        <f>C7*F7</f>
      </c>
      <c r="H7" s="1">
        <f>D7-G7</f>
      </c>
      <c r="I7" s="4">
        <f>IFERROR(H7/D7,0)</f>
      </c>
    </row>
    <row r="8" spans="1:9" x14ac:dyDescent="0.25">
      <c r="A8">
        <v>5</v>
      </c>
      <c r="B8" t="s">
        <v>67</v>
      </c>
      <c r="C8">
        <v>15</v>
      </c>
      <c r="D8" s="1">
        <v>81350000</v>
      </c>
      <c r="E8" s="1">
        <f>D8/C8</f>
      </c>
      <c r="F8" s="1">
        <v>3200000</v>
      </c>
      <c r="G8" s="1">
        <f>C8*F8</f>
      </c>
      <c r="H8" s="1">
        <f>D8-G8</f>
      </c>
      <c r="I8" s="4">
        <f>IFERROR(H8/D8,0)</f>
      </c>
    </row>
    <row r="9" spans="1:9" x14ac:dyDescent="0.25">
      <c r="A9">
        <v>6</v>
      </c>
      <c r="B9" t="s">
        <v>68</v>
      </c>
      <c r="C9">
        <v>6</v>
      </c>
      <c r="D9" s="1">
        <v>24000000</v>
      </c>
      <c r="E9" s="1">
        <f>D9/C9</f>
      </c>
      <c r="F9" s="1">
        <v>3000000</v>
      </c>
      <c r="G9" s="1">
        <f>C9*F9</f>
      </c>
      <c r="H9" s="1">
        <f>D9-G9</f>
      </c>
      <c r="I9" s="4">
        <f>IFERROR(H9/D9,0)</f>
      </c>
    </row>
    <row r="10" spans="1:9" x14ac:dyDescent="0.25">
      <c r="A10">
        <v>7</v>
      </c>
      <c r="B10" t="s">
        <v>69</v>
      </c>
      <c r="C10">
        <v>24</v>
      </c>
      <c r="D10" s="1">
        <v>25650000</v>
      </c>
      <c r="E10" s="1">
        <f>D10/C10</f>
      </c>
      <c r="F10" s="1">
        <v>700000</v>
      </c>
      <c r="G10" s="1">
        <f>C10*F10</f>
      </c>
      <c r="H10" s="1">
        <f>D10-G10</f>
      </c>
      <c r="I10" s="4">
        <f>IFERROR(H10/D10,0)</f>
      </c>
    </row>
    <row r="11" spans="1:9" x14ac:dyDescent="0.25">
      <c r="A11">
        <v>8</v>
      </c>
      <c r="B11" t="s">
        <v>70</v>
      </c>
      <c r="C11">
        <v>2</v>
      </c>
      <c r="D11" s="1">
        <v>3800000</v>
      </c>
      <c r="E11" s="1">
        <f>D11/C11</f>
      </c>
      <c r="F11" s="1">
        <v>1000000</v>
      </c>
      <c r="G11" s="1">
        <f>C11*F11</f>
      </c>
      <c r="H11" s="1">
        <f>D11-G11</f>
      </c>
      <c r="I11" s="4">
        <f>IFERROR(H11/D11,0)</f>
      </c>
    </row>
    <row r="12" spans="1:9" x14ac:dyDescent="0.25">
      <c r="A12">
        <v>9</v>
      </c>
      <c r="B12" t="s">
        <v>71</v>
      </c>
      <c r="C12">
        <v>2</v>
      </c>
      <c r="D12" s="1">
        <v>5200000</v>
      </c>
      <c r="E12" s="1">
        <f>D12/C12</f>
      </c>
      <c r="F12" s="1">
        <v>1300000</v>
      </c>
      <c r="G12" s="1">
        <f>C12*F12</f>
      </c>
      <c r="H12" s="1">
        <f>D12-G12</f>
      </c>
      <c r="I12" s="4">
        <f>IFERROR(H12/D12,0)</f>
      </c>
    </row>
    <row r="13" spans="1:9" x14ac:dyDescent="0.25">
      <c r="A13">
        <v>10</v>
      </c>
      <c r="B13" t="s">
        <v>72</v>
      </c>
      <c r="C13">
        <v>12</v>
      </c>
      <c r="D13" s="1">
        <v>22800000</v>
      </c>
      <c r="E13" s="1">
        <f>D13/C13</f>
      </c>
      <c r="F13" s="1">
        <v>1200000</v>
      </c>
      <c r="G13" s="1">
        <f>C13*F13</f>
      </c>
      <c r="H13" s="1">
        <f>D13-G13</f>
      </c>
      <c r="I13" s="4">
        <f>IFERROR(H13/D13,0)</f>
      </c>
    </row>
    <row r="14" spans="1:9" x14ac:dyDescent="0.25">
      <c r="A14">
        <v>11</v>
      </c>
      <c r="B14" t="s">
        <v>73</v>
      </c>
      <c r="C14">
        <v>8</v>
      </c>
      <c r="D14" s="1">
        <v>7800000</v>
      </c>
      <c r="E14" s="1">
        <f>D14/C14</f>
      </c>
      <c r="F14" s="1">
        <v>700000</v>
      </c>
      <c r="G14" s="1">
        <f>C14*F14</f>
      </c>
      <c r="H14" s="1">
        <f>D14-G14</f>
      </c>
      <c r="I14" s="4">
        <f>IFERROR(H14/D14,0)</f>
      </c>
    </row>
    <row r="15" spans="2:8" s="13" customFormat="1" x14ac:dyDescent="0.25">
      <c r="B15" s="13" t="s">
        <v>74</v>
      </c>
      <c r="C15" s="13">
        <f>SUM(C4:C14)</f>
      </c>
      <c r="D15" s="14">
        <f>SUM(D4:D14)</f>
      </c>
      <c r="G15" s="14">
        <f>SUM(G4:G14)</f>
      </c>
      <c r="H15" s="14">
        <f>SUM(H4:H14)</f>
      </c>
    </row>
  </sheetData>
  <autoFilter ref="A3:I14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COA DUMMY</vt:lpstr>
      <vt:lpstr>DATA ITEM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2026-09-11T15:13:55Z</dcterms:created>
  <dcterms:modified xsi:type="dcterms:W3CDTF">2026-09-11T15:13:55Z</dcterms:modified>
</cp:coreProperties>
</file>